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 (2)" sheetId="4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<sst xmlns="http://schemas.openxmlformats.org/spreadsheetml/2006/main" count="32" uniqueCount="32">
  <si>
    <t>浙江西州将军门业有限公司</t>
  </si>
  <si>
    <t>致:杨帅伟</t>
  </si>
  <si>
    <t>日期：  2026.04.26</t>
  </si>
  <si>
    <t>项目名称：银基31-102</t>
  </si>
  <si>
    <t>传真：</t>
  </si>
  <si>
    <t>启：</t>
  </si>
  <si>
    <t>主题：</t>
  </si>
  <si>
    <t xml:space="preserve"> 承蒙关照，感谢贵方对我方产品感兴趣，根据贵方要求，报</t>
  </si>
  <si>
    <t>上我公司价格，可随时来电来函告知，我们将及时为您提供。</t>
  </si>
  <si>
    <t>序号</t>
  </si>
  <si>
    <t>品名型号</t>
  </si>
  <si>
    <t>规格</t>
  </si>
  <si>
    <t>开启方向</t>
  </si>
  <si>
    <t>单位</t>
  </si>
  <si>
    <t>数量</t>
  </si>
  <si>
    <t>单价</t>
  </si>
  <si>
    <t>总金额/元</t>
  </si>
  <si>
    <t>0.8的钢铜蚀刻子母门</t>
  </si>
  <si>
    <t>X</t>
  </si>
  <si>
    <t>宽</t>
  </si>
  <si>
    <t>右外</t>
  </si>
  <si>
    <t>㎡</t>
  </si>
  <si>
    <t>合计</t>
  </si>
  <si>
    <t xml:space="preserve">本报价不含税工厂结算价，含木箱。
</t>
  </si>
  <si>
    <t>合计总金额（大写）：</t>
  </si>
  <si>
    <t>元整</t>
  </si>
  <si>
    <t>1.付款方式:确定制作，先安排货款50%的定金，款清发货</t>
  </si>
  <si>
    <t>2.以上价格不包含运费、安装调试费、测量等费用。</t>
  </si>
  <si>
    <t>壹佰玖拾伍万壹仟肆佰玖拾陆.肆</t>
  </si>
  <si>
    <t>3.请及时确定签字回传，我司以收到贵方签字回传单以及保证金为准，方可安排生产</t>
  </si>
  <si>
    <t>开票资料:对公账户公司名称杭州浙家门业有限公司账产                                          号码:3301041060000451769                                                                                             开户银行:杭州银行富阳支行                                                                法定代表人:王家龙基本存款                                                                                              账户编号:J3310198780901</t>
  </si>
  <si>
    <t>汇款请汇入以下账户
户名：张春兰
账号：622848 0329 2739 08775
汇款行农业银行浙江省分行杭州市上泗支行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</si>
</sst>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0_ "/>
    <numFmt numFmtId="178" formatCode="0.00_ "/>
    <numFmt numFmtId="179" formatCode="[DBNum2][$-804]General"/>
  </numFmts>
  <fonts count="30">
    <font>
      <sz val="11"/>
      <color theme="1"/>
      <name val="宋体"/>
      <charset val="134"/>
      <scheme val="minor"/>
    </font>
    <font>
      <b/>
      <sz val="20"/>
      <name val="楷体_GB2312"/>
      <charset val="134"/>
    </font>
    <font>
      <sz val="14"/>
      <name val="宋体"/>
      <charset val="134"/>
    </font>
    <font>
      <b/>
      <sz val="16"/>
      <color indexed="8"/>
      <name val="楷体_GB2312"/>
      <charset val="134"/>
    </font>
    <font>
      <b/>
      <sz val="16"/>
      <color rgb="FF000000"/>
      <name val="楷体_GB2312"/>
      <charset val="134"/>
    </font>
    <font>
      <b/>
      <sz val="12"/>
      <color indexed="32"/>
      <name val="宋体"/>
      <charset val="134"/>
    </font>
    <font>
      <b/>
      <sz val="14"/>
      <name val="宋体"/>
      <charset val="134"/>
    </font>
    <font>
      <b/>
      <sz val="12"/>
      <name val="宋体"/>
      <charset val="134"/>
    </font>
    <font>
      <b/>
      <sz val="14"/>
      <color rgb="FFFF0000"/>
      <name val="楷体_GB2312"/>
      <charset val="134"/>
    </font>
    <font>
      <sz val="14"/>
      <color theme="1"/>
      <name val="宋体"/>
      <charset val="134"/>
      <scheme val="minor"/>
    </font>
    <font>
      <b/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4" applyNumberFormat="0" applyFill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16" applyNumberFormat="0" applyAlignment="0" applyProtection="0">
      <alignment vertical="center"/>
    </xf>
    <xf numFmtId="0" fontId="20" fillId="6" borderId="17" applyNumberFormat="0" applyAlignment="0" applyProtection="0">
      <alignment vertical="center"/>
    </xf>
    <xf numFmtId="0" fontId="21" fillId="6" borderId="16" applyNumberFormat="0" applyAlignment="0" applyProtection="0">
      <alignment vertical="center"/>
    </xf>
    <xf numFmtId="0" fontId="22" fillId="7" borderId="18" applyNumberFormat="0" applyAlignment="0" applyProtection="0">
      <alignment vertical="center"/>
    </xf>
    <xf numFmtId="0" fontId="23" fillId="0" borderId="19" applyNumberFormat="0" applyFill="0" applyAlignment="0" applyProtection="0">
      <alignment vertical="center"/>
    </xf>
    <xf numFmtId="0" fontId="24" fillId="0" borderId="20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54">
    <xf numFmtId="0" fontId="0" fillId="0" borderId="0" xfId="0">
      <alignment vertical="center"/>
    </xf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/>
    <xf numFmtId="0" fontId="4" fillId="0" borderId="0" xfId="0" applyFont="1" applyFill="1" applyBorder="1" applyAlignment="1">
      <alignment horizontal="left"/>
    </xf>
    <xf numFmtId="0" fontId="5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0" fontId="5" fillId="0" borderId="4" xfId="0" applyNumberFormat="1" applyFont="1" applyFill="1" applyBorder="1" applyAlignment="1">
      <alignment horizontal="center" vertical="center"/>
    </xf>
    <xf numFmtId="0" fontId="5" fillId="0" borderId="5" xfId="0" applyNumberFormat="1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center"/>
    </xf>
    <xf numFmtId="0" fontId="5" fillId="0" borderId="7" xfId="0" applyFont="1" applyFill="1" applyBorder="1" applyAlignment="1">
      <alignment horizontal="center" vertical="center"/>
    </xf>
    <xf numFmtId="0" fontId="5" fillId="0" borderId="8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wrapText="1"/>
    </xf>
    <xf numFmtId="0" fontId="6" fillId="0" borderId="9" xfId="0" applyFont="1" applyFill="1" applyBorder="1" applyAlignment="1">
      <alignment horizontal="left" wrapText="1"/>
    </xf>
    <xf numFmtId="0" fontId="6" fillId="0" borderId="5" xfId="0" applyFont="1" applyFill="1" applyBorder="1" applyAlignment="1">
      <alignment horizontal="left" wrapText="1"/>
    </xf>
    <xf numFmtId="0" fontId="7" fillId="0" borderId="4" xfId="0" applyFont="1" applyFill="1" applyBorder="1" applyAlignment="1"/>
    <xf numFmtId="0" fontId="7" fillId="0" borderId="4" xfId="0" applyFont="1" applyFill="1" applyBorder="1" applyAlignment="1">
      <alignment horizontal="center"/>
    </xf>
    <xf numFmtId="43" fontId="7" fillId="0" borderId="4" xfId="1" applyFont="1" applyFill="1" applyBorder="1" applyAlignment="1">
      <alignment horizontal="center"/>
    </xf>
    <xf numFmtId="176" fontId="7" fillId="0" borderId="4" xfId="0" applyNumberFormat="1" applyFont="1" applyFill="1" applyBorder="1" applyAlignment="1">
      <alignment horizontal="center"/>
    </xf>
    <xf numFmtId="177" fontId="7" fillId="0" borderId="4" xfId="0" applyNumberFormat="1" applyFont="1" applyFill="1" applyBorder="1" applyAlignment="1">
      <alignment horizontal="center"/>
    </xf>
    <xf numFmtId="0" fontId="6" fillId="0" borderId="0" xfId="0" applyFont="1" applyFill="1" applyBorder="1" applyAlignment="1"/>
    <xf numFmtId="176" fontId="7" fillId="0" borderId="4" xfId="0" applyNumberFormat="1" applyFont="1" applyFill="1" applyBorder="1" applyAlignment="1"/>
    <xf numFmtId="0" fontId="6" fillId="2" borderId="4" xfId="0" applyFont="1" applyFill="1" applyBorder="1" applyAlignment="1"/>
    <xf numFmtId="0" fontId="6" fillId="2" borderId="4" xfId="0" applyFont="1" applyFill="1" applyBorder="1" applyAlignment="1">
      <alignment horizontal="center"/>
    </xf>
    <xf numFmtId="178" fontId="7" fillId="2" borderId="4" xfId="0" applyNumberFormat="1" applyFont="1" applyFill="1" applyBorder="1" applyAlignment="1">
      <alignment horizontal="center"/>
    </xf>
    <xf numFmtId="177" fontId="7" fillId="2" borderId="4" xfId="0" applyNumberFormat="1" applyFont="1" applyFill="1" applyBorder="1" applyAlignment="1">
      <alignment horizontal="center"/>
    </xf>
    <xf numFmtId="177" fontId="6" fillId="0" borderId="0" xfId="0" applyNumberFormat="1" applyFont="1" applyFill="1" applyBorder="1" applyAlignment="1"/>
    <xf numFmtId="0" fontId="8" fillId="0" borderId="2" xfId="0" applyFont="1" applyFill="1" applyBorder="1" applyAlignment="1">
      <alignment horizontal="center" vertical="center" wrapText="1"/>
    </xf>
    <xf numFmtId="0" fontId="8" fillId="0" borderId="10" xfId="0" applyFont="1" applyFill="1" applyBorder="1" applyAlignment="1">
      <alignment horizontal="center" vertical="center" wrapText="1"/>
    </xf>
    <xf numFmtId="0" fontId="8" fillId="0" borderId="10" xfId="0" applyFont="1" applyFill="1" applyBorder="1" applyAlignment="1">
      <alignment horizontal="center" vertical="center"/>
    </xf>
    <xf numFmtId="0" fontId="8" fillId="0" borderId="3" xfId="0" applyFont="1" applyFill="1" applyBorder="1" applyAlignment="1">
      <alignment horizontal="center" vertical="center"/>
    </xf>
    <xf numFmtId="0" fontId="9" fillId="0" borderId="0" xfId="0" applyFont="1" applyFill="1" applyAlignment="1">
      <alignment vertical="center"/>
    </xf>
    <xf numFmtId="0" fontId="8" fillId="0" borderId="7" xfId="0" applyFont="1" applyFill="1" applyBorder="1" applyAlignment="1">
      <alignment horizontal="center" vertical="center"/>
    </xf>
    <xf numFmtId="0" fontId="8" fillId="0" borderId="11" xfId="0" applyFont="1" applyFill="1" applyBorder="1" applyAlignment="1">
      <alignment horizontal="center" vertical="center"/>
    </xf>
    <xf numFmtId="0" fontId="8" fillId="0" borderId="8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left"/>
    </xf>
    <xf numFmtId="0" fontId="3" fillId="0" borderId="4" xfId="0" applyFont="1" applyFill="1" applyBorder="1" applyAlignment="1">
      <alignment horizontal="center"/>
    </xf>
    <xf numFmtId="0" fontId="10" fillId="0" borderId="4" xfId="0" applyFont="1" applyFill="1" applyBorder="1" applyAlignment="1">
      <alignment horizontal="center" vertical="center"/>
    </xf>
    <xf numFmtId="179" fontId="3" fillId="0" borderId="4" xfId="0" applyNumberFormat="1" applyFont="1" applyFill="1" applyBorder="1" applyAlignment="1"/>
    <xf numFmtId="0" fontId="8" fillId="3" borderId="7" xfId="0" applyFont="1" applyFill="1" applyBorder="1" applyAlignment="1">
      <alignment horizontal="left"/>
    </xf>
    <xf numFmtId="0" fontId="8" fillId="3" borderId="11" xfId="0" applyFont="1" applyFill="1" applyBorder="1" applyAlignment="1">
      <alignment horizontal="left"/>
    </xf>
    <xf numFmtId="0" fontId="8" fillId="3" borderId="8" xfId="0" applyFont="1" applyFill="1" applyBorder="1" applyAlignment="1">
      <alignment horizontal="left"/>
    </xf>
    <xf numFmtId="0" fontId="8" fillId="3" borderId="9" xfId="0" applyFont="1" applyFill="1" applyBorder="1" applyAlignment="1">
      <alignment horizontal="left"/>
    </xf>
    <xf numFmtId="0" fontId="8" fillId="3" borderId="12" xfId="0" applyFont="1" applyFill="1" applyBorder="1" applyAlignment="1">
      <alignment horizontal="left"/>
    </xf>
    <xf numFmtId="0" fontId="8" fillId="3" borderId="5" xfId="0" applyFont="1" applyFill="1" applyBorder="1" applyAlignment="1">
      <alignment horizontal="left"/>
    </xf>
    <xf numFmtId="0" fontId="0" fillId="0" borderId="0" xfId="0" applyNumberFormat="1">
      <alignment vertical="center"/>
    </xf>
    <xf numFmtId="0" fontId="8" fillId="3" borderId="9" xfId="0" applyFont="1" applyFill="1" applyBorder="1" applyAlignment="1">
      <alignment horizontal="left" wrapText="1"/>
    </xf>
    <xf numFmtId="0" fontId="8" fillId="3" borderId="12" xfId="0" applyFont="1" applyFill="1" applyBorder="1" applyAlignment="1">
      <alignment horizontal="left" wrapText="1"/>
    </xf>
    <xf numFmtId="0" fontId="8" fillId="3" borderId="5" xfId="0" applyFont="1" applyFill="1" applyBorder="1" applyAlignment="1">
      <alignment horizontal="left" wrapText="1"/>
    </xf>
    <xf numFmtId="0" fontId="8" fillId="3" borderId="4" xfId="0" applyFont="1" applyFill="1" applyBorder="1" applyAlignment="1">
      <alignment horizontal="left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5"/>
  <sheetViews>
    <sheetView tabSelected="1" zoomScale="85" zoomScaleNormal="85" workbookViewId="0">
      <selection activeCell="A4" sqref="A4:H4"/>
    </sheetView>
  </sheetViews>
  <sheetFormatPr defaultColWidth="9" defaultRowHeight="13.5"/>
  <cols>
    <col min="1" max="1" width="8.74166666666667" customWidth="1"/>
    <col min="3" max="3" width="31.525" customWidth="1"/>
    <col min="4" max="4" width="6.94166666666667" customWidth="1"/>
    <col min="5" max="5" width="5.41666666666667" customWidth="1"/>
    <col min="6" max="6" width="6.66666666666667" customWidth="1"/>
    <col min="7" max="7" width="6.24166666666667" customWidth="1"/>
    <col min="9" max="9" width="6.10833333333333" customWidth="1"/>
    <col min="10" max="10" width="8.75" customWidth="1"/>
    <col min="11" max="11" width="7.775" customWidth="1"/>
    <col min="12" max="12" width="12.3583333333333" customWidth="1"/>
    <col min="13" max="13" width="15" customWidth="1"/>
  </cols>
  <sheetData>
    <row r="1" ht="18.75" spans="1:1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</row>
    <row r="2" ht="19" customHeight="1" spans="1:1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2"/>
    </row>
    <row r="3" ht="20.25" spans="1:13">
      <c r="A3" s="3" t="s">
        <v>1</v>
      </c>
      <c r="B3" s="3"/>
      <c r="C3" s="4"/>
      <c r="D3" s="4"/>
      <c r="E3" s="4"/>
      <c r="F3" s="4"/>
      <c r="G3" s="4"/>
      <c r="H3" s="4"/>
      <c r="I3" s="4" t="s">
        <v>2</v>
      </c>
      <c r="J3" s="4"/>
      <c r="K3" s="4"/>
      <c r="L3" s="4"/>
      <c r="M3" s="2"/>
    </row>
    <row r="4" ht="20.25" spans="1:13">
      <c r="A4" s="5" t="s">
        <v>3</v>
      </c>
      <c r="B4" s="3"/>
      <c r="C4" s="4"/>
      <c r="D4" s="4"/>
      <c r="E4" s="4"/>
      <c r="F4" s="4"/>
      <c r="G4" s="4"/>
      <c r="H4" s="4"/>
      <c r="I4" s="4" t="s">
        <v>4</v>
      </c>
      <c r="J4" s="4"/>
      <c r="K4" s="4"/>
      <c r="L4" s="4"/>
      <c r="M4" s="2"/>
    </row>
    <row r="5" ht="20.25" spans="1:13">
      <c r="A5" s="3" t="s">
        <v>5</v>
      </c>
      <c r="B5" s="3"/>
      <c r="C5" s="4"/>
      <c r="D5" s="4"/>
      <c r="E5" s="4"/>
      <c r="F5" s="4"/>
      <c r="G5" s="4"/>
      <c r="H5" s="4"/>
      <c r="I5" s="4" t="s">
        <v>6</v>
      </c>
      <c r="J5" s="4"/>
      <c r="K5" s="4"/>
      <c r="L5" s="4"/>
      <c r="M5" s="2"/>
    </row>
    <row r="6" ht="20.25" spans="1:13">
      <c r="A6" s="3" t="s">
        <v>7</v>
      </c>
      <c r="B6" s="3"/>
      <c r="C6" s="4"/>
      <c r="D6" s="4"/>
      <c r="E6" s="4"/>
      <c r="F6" s="4"/>
      <c r="G6" s="4"/>
      <c r="H6" s="4"/>
      <c r="I6" s="4"/>
      <c r="J6" s="4"/>
      <c r="K6" s="4"/>
      <c r="L6" s="4"/>
      <c r="M6" s="2"/>
    </row>
    <row r="7" ht="20.25" spans="1:13">
      <c r="A7" s="3" t="s">
        <v>8</v>
      </c>
      <c r="B7" s="3"/>
      <c r="C7" s="4"/>
      <c r="D7" s="4"/>
      <c r="E7" s="4"/>
      <c r="F7" s="4"/>
      <c r="G7" s="4"/>
      <c r="H7" s="4"/>
      <c r="I7" s="4"/>
      <c r="J7" s="4"/>
      <c r="K7" s="4"/>
      <c r="L7" s="4"/>
      <c r="M7" s="2"/>
    </row>
    <row r="8" ht="18.75" spans="1:13">
      <c r="A8" s="6" t="s">
        <v>9</v>
      </c>
      <c r="B8" s="7" t="s">
        <v>10</v>
      </c>
      <c r="C8" s="8"/>
      <c r="D8" s="9" t="s">
        <v>11</v>
      </c>
      <c r="E8" s="9"/>
      <c r="F8" s="9"/>
      <c r="G8" s="10"/>
      <c r="H8" s="11" t="s">
        <v>12</v>
      </c>
      <c r="I8" s="12" t="s">
        <v>13</v>
      </c>
      <c r="J8" s="12" t="s">
        <v>14</v>
      </c>
      <c r="K8" s="12" t="s">
        <v>15</v>
      </c>
      <c r="L8" s="12" t="s">
        <v>16</v>
      </c>
      <c r="M8" s="2"/>
    </row>
    <row r="9" ht="18.75" spans="1:13">
      <c r="A9" s="13"/>
      <c r="B9" s="14"/>
      <c r="C9" s="15"/>
      <c r="D9" s="9"/>
      <c r="E9" s="9"/>
      <c r="F9" s="9"/>
      <c r="G9" s="10"/>
      <c r="H9" s="11"/>
      <c r="I9" s="12"/>
      <c r="J9" s="12"/>
      <c r="K9" s="12"/>
      <c r="L9" s="12"/>
      <c r="M9" s="2"/>
    </row>
    <row r="10" customFormat="1" ht="39" customHeight="1" spans="1:13">
      <c r="A10" s="16">
        <v>1</v>
      </c>
      <c r="B10" s="17" t="s">
        <v>17</v>
      </c>
      <c r="C10" s="18"/>
      <c r="D10" s="19">
        <v>2470</v>
      </c>
      <c r="E10" s="20" t="s">
        <v>18</v>
      </c>
      <c r="F10" s="19">
        <v>1580</v>
      </c>
      <c r="G10" s="20" t="s">
        <v>19</v>
      </c>
      <c r="H10" s="20" t="s">
        <v>20</v>
      </c>
      <c r="I10" s="21" t="s">
        <v>21</v>
      </c>
      <c r="J10" s="22">
        <f>D10*F10*0.000001</f>
        <v>3.9026</v>
      </c>
      <c r="K10" s="20">
        <v>1680</v>
      </c>
      <c r="L10" s="23">
        <f t="shared" ref="L10:L16" si="0">ROUND((K10*J10),0)</f>
        <v>6556</v>
      </c>
      <c r="M10" s="24"/>
    </row>
    <row r="11" customFormat="1" ht="25" customHeight="1" spans="1:13">
      <c r="A11" s="16"/>
      <c r="B11" s="17"/>
      <c r="C11" s="18"/>
      <c r="D11" s="19"/>
      <c r="E11" s="19"/>
      <c r="F11" s="19"/>
      <c r="G11" s="19"/>
      <c r="H11" s="19"/>
      <c r="I11" s="19"/>
      <c r="J11" s="22">
        <f t="shared" ref="J10:J16" si="1">D11*F11*0.000001</f>
        <v>0</v>
      </c>
      <c r="K11" s="20"/>
      <c r="L11" s="23">
        <f t="shared" si="0"/>
        <v>0</v>
      </c>
      <c r="M11" s="24"/>
    </row>
    <row r="12" customFormat="1" ht="25" customHeight="1" spans="1:13">
      <c r="A12" s="16"/>
      <c r="B12" s="17"/>
      <c r="C12" s="18"/>
      <c r="D12" s="19"/>
      <c r="E12" s="19"/>
      <c r="F12" s="19"/>
      <c r="G12" s="19"/>
      <c r="H12" s="19"/>
      <c r="I12" s="19"/>
      <c r="J12" s="22">
        <f t="shared" si="1"/>
        <v>0</v>
      </c>
      <c r="K12" s="20"/>
      <c r="L12" s="23">
        <f t="shared" si="0"/>
        <v>0</v>
      </c>
      <c r="M12" s="24"/>
    </row>
    <row r="13" customFormat="1" ht="25" customHeight="1" spans="1:13">
      <c r="A13" s="16"/>
      <c r="B13" s="17"/>
      <c r="C13" s="18"/>
      <c r="D13" s="19"/>
      <c r="E13" s="19"/>
      <c r="F13" s="19"/>
      <c r="G13" s="20"/>
      <c r="H13" s="20"/>
      <c r="I13" s="21"/>
      <c r="J13" s="22">
        <f t="shared" si="1"/>
        <v>0</v>
      </c>
      <c r="K13" s="20"/>
      <c r="L13" s="23">
        <f t="shared" si="0"/>
        <v>0</v>
      </c>
      <c r="M13" s="24"/>
    </row>
    <row r="14" customFormat="1" ht="25" customHeight="1" spans="1:13">
      <c r="A14" s="16"/>
      <c r="B14" s="17"/>
      <c r="C14" s="18"/>
      <c r="D14" s="19"/>
      <c r="E14" s="19"/>
      <c r="F14" s="19"/>
      <c r="G14" s="19"/>
      <c r="H14" s="19"/>
      <c r="I14" s="19"/>
      <c r="J14" s="22">
        <f t="shared" si="1"/>
        <v>0</v>
      </c>
      <c r="K14" s="20"/>
      <c r="L14" s="23">
        <f t="shared" si="0"/>
        <v>0</v>
      </c>
      <c r="M14" s="24"/>
    </row>
    <row r="15" customFormat="1" ht="25" customHeight="1" spans="1:13">
      <c r="A15" s="16"/>
      <c r="B15" s="17"/>
      <c r="C15" s="18"/>
      <c r="D15" s="19"/>
      <c r="E15" s="19"/>
      <c r="F15" s="19"/>
      <c r="G15" s="25"/>
      <c r="H15" s="25"/>
      <c r="I15" s="25"/>
      <c r="J15" s="22">
        <f t="shared" si="1"/>
        <v>0</v>
      </c>
      <c r="K15" s="20"/>
      <c r="L15" s="23">
        <f t="shared" si="0"/>
        <v>0</v>
      </c>
      <c r="M15" s="24"/>
    </row>
    <row r="16" customFormat="1" ht="25" customHeight="1" spans="1:13">
      <c r="A16" s="16"/>
      <c r="B16" s="17"/>
      <c r="C16" s="18"/>
      <c r="D16" s="19"/>
      <c r="E16" s="19"/>
      <c r="F16" s="19"/>
      <c r="G16" s="20"/>
      <c r="H16" s="20"/>
      <c r="I16" s="21"/>
      <c r="J16" s="22">
        <f t="shared" si="1"/>
        <v>0</v>
      </c>
      <c r="K16" s="20"/>
      <c r="L16" s="23">
        <f t="shared" si="0"/>
        <v>0</v>
      </c>
      <c r="M16" s="24"/>
    </row>
    <row r="17" ht="18.75" spans="1:19">
      <c r="A17" s="26" t="s">
        <v>22</v>
      </c>
      <c r="B17" s="26"/>
      <c r="C17" s="26"/>
      <c r="D17" s="27"/>
      <c r="E17" s="27"/>
      <c r="F17" s="27"/>
      <c r="G17" s="27"/>
      <c r="H17" s="27"/>
      <c r="I17" s="27"/>
      <c r="J17" s="28"/>
      <c r="K17" s="27"/>
      <c r="L17" s="29">
        <v>1951496.4</v>
      </c>
      <c r="M17" s="30"/>
    </row>
    <row r="18" ht="18.75" spans="1:19">
      <c r="A18" s="31" t="s">
        <v>23</v>
      </c>
      <c r="B18" s="32"/>
      <c r="C18" s="33"/>
      <c r="D18" s="33"/>
      <c r="E18" s="33"/>
      <c r="F18" s="33"/>
      <c r="G18" s="33"/>
      <c r="H18" s="33"/>
      <c r="I18" s="33"/>
      <c r="J18" s="33"/>
      <c r="K18" s="33"/>
      <c r="L18" s="34"/>
      <c r="M18" s="35"/>
    </row>
    <row r="19" ht="26" customHeight="1" spans="1:19">
      <c r="A19" s="36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8"/>
      <c r="M19" s="35"/>
    </row>
    <row r="20" ht="20.25" spans="1:19">
      <c r="A20" s="39" t="s">
        <v>24</v>
      </c>
      <c r="B20" s="39"/>
      <c r="C20" s="40"/>
      <c r="D20" s="40"/>
      <c r="E20" s="40"/>
      <c r="F20" s="40"/>
      <c r="G20" s="40"/>
      <c r="H20" s="41" t="str">
        <f>TEXT(L17,"[DBNum2]")</f>
        <v>壹佰玖拾伍万壹仟肆佰玖拾陆.肆</v>
      </c>
      <c r="I20" s="41"/>
      <c r="J20" s="41"/>
      <c r="K20" s="41"/>
      <c r="L20" s="42" t="s">
        <v>25</v>
      </c>
    </row>
    <row r="21" ht="18.75" spans="1:19">
      <c r="A21" s="43" t="s">
        <v>26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5"/>
      <c r="M21" s="35"/>
    </row>
    <row r="22" ht="18.75" spans="1:19">
      <c r="A22" s="46" t="s">
        <v>27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8"/>
      <c r="M22" s="35"/>
      <c r="P22" s="49" t="s">
        <v>28</v>
      </c>
      <c r="Q22" s="49"/>
      <c r="R22" s="49"/>
      <c r="S22" s="49"/>
    </row>
    <row r="23" ht="18.75" spans="1:19">
      <c r="A23" s="46" t="s">
        <v>29</v>
      </c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8"/>
      <c r="M23" s="35"/>
    </row>
    <row r="24" ht="99" customHeight="1" spans="1:19">
      <c r="A24" s="50" t="s">
        <v>30</v>
      </c>
      <c r="B24" s="51"/>
      <c r="C24" s="51"/>
      <c r="D24" s="51"/>
      <c r="E24" s="51"/>
      <c r="F24" s="51"/>
      <c r="G24" s="51"/>
      <c r="H24" s="51"/>
      <c r="I24" s="51"/>
      <c r="J24" s="51"/>
      <c r="K24" s="51"/>
      <c r="L24" s="52"/>
      <c r="M24" s="35"/>
    </row>
    <row r="25" ht="81" customHeight="1" spans="1:19">
      <c r="A25" s="53" t="s">
        <v>31</v>
      </c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35"/>
    </row>
  </sheetData>
  <mergeCells count="32">
    <mergeCell ref="A3:H3"/>
    <mergeCell ref="I3:L3"/>
    <mergeCell ref="A4:H4"/>
    <mergeCell ref="I4:L4"/>
    <mergeCell ref="A5:H5"/>
    <mergeCell ref="I5:L5"/>
    <mergeCell ref="A6:L6"/>
    <mergeCell ref="A7:L7"/>
    <mergeCell ref="B10:C10"/>
    <mergeCell ref="B11:C11"/>
    <mergeCell ref="B12:C12"/>
    <mergeCell ref="B13:C13"/>
    <mergeCell ref="B14:C14"/>
    <mergeCell ref="B15:C15"/>
    <mergeCell ref="B16:C16"/>
    <mergeCell ref="A20:G20"/>
    <mergeCell ref="H20:K20"/>
    <mergeCell ref="A21:L21"/>
    <mergeCell ref="A22:L22"/>
    <mergeCell ref="A23:L23"/>
    <mergeCell ref="A24:L24"/>
    <mergeCell ref="A25:L25"/>
    <mergeCell ref="A8:A9"/>
    <mergeCell ref="H8:H9"/>
    <mergeCell ref="I8:I9"/>
    <mergeCell ref="J8:J9"/>
    <mergeCell ref="K8:K9"/>
    <mergeCell ref="L8:L9"/>
    <mergeCell ref="A1:L2"/>
    <mergeCell ref="D8:G9"/>
    <mergeCell ref="B8:C9"/>
    <mergeCell ref="A18:L19"/>
  </mergeCells>
  <pageMargins left="0.161111111111111" right="0.161111111111111" top="1" bottom="1" header="0.5" footer="0.5"/>
  <pageSetup paperSize="9" orientation="portrait" horizontalDpi="6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 (2)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KY-SY001</dc:creator>
  <cp:lastModifiedBy>WPS_1201226555</cp:lastModifiedBy>
  <dcterms:created xsi:type="dcterms:W3CDTF">2024-05-31T05:30:00Z</dcterms:created>
  <dcterms:modified xsi:type="dcterms:W3CDTF">2026-04-29T08:51:52Z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E2D12536DF3A4C3F9DA385A8BA1984F5_13</vt:lpwstr>
  </property>
  <property fmtid="{D5CDD505-2E9C-101B-9397-08002B2CF9AE}" pid="4" name="CalculationRule">
    <vt:i4>0</vt:i4>
  </property>
</Properties>
</file>